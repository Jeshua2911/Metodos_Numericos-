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shu\Downloads\"/>
    </mc:Choice>
  </mc:AlternateContent>
  <bookViews>
    <workbookView xWindow="0" yWindow="0" windowWidth="19200" windowHeight="79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6" i="1"/>
  <c r="E15" i="1"/>
  <c r="C6" i="1"/>
  <c r="E6" i="1"/>
  <c r="B7" i="1" s="1"/>
  <c r="D15" i="1"/>
  <c r="D6" i="1"/>
  <c r="D7" i="1" l="1"/>
  <c r="C7" i="1"/>
  <c r="E7" i="1" s="1"/>
  <c r="B8" i="1" s="1"/>
  <c r="C8" i="1" l="1"/>
  <c r="D8" i="1"/>
  <c r="E8" i="1" s="1"/>
  <c r="B9" i="1" s="1"/>
  <c r="C9" i="1" s="1"/>
  <c r="E9" i="1" s="1"/>
  <c r="B10" i="1" s="1"/>
  <c r="D9" i="1"/>
  <c r="D10" i="1" l="1"/>
  <c r="C10" i="1"/>
  <c r="E10" i="1" s="1"/>
  <c r="B11" i="1" s="1"/>
  <c r="I5" i="1" l="1"/>
  <c r="D11" i="1"/>
  <c r="C11" i="1"/>
  <c r="E11" i="1" l="1"/>
</calcChain>
</file>

<file path=xl/sharedStrings.xml><?xml version="1.0" encoding="utf-8"?>
<sst xmlns="http://schemas.openxmlformats.org/spreadsheetml/2006/main" count="22" uniqueCount="20">
  <si>
    <t>Val. Inical</t>
  </si>
  <si>
    <t>f(x)</t>
  </si>
  <si>
    <t>2cosx-x^2</t>
  </si>
  <si>
    <t>f'(x)</t>
  </si>
  <si>
    <t>x0</t>
  </si>
  <si>
    <t>xn+1=x0 f(x)/f'(x)</t>
  </si>
  <si>
    <t>-2senx-2x</t>
  </si>
  <si>
    <t>R=</t>
  </si>
  <si>
    <t>Newton</t>
  </si>
  <si>
    <t>a</t>
  </si>
  <si>
    <t>b</t>
  </si>
  <si>
    <t>f(a)</t>
  </si>
  <si>
    <t>f(b)</t>
  </si>
  <si>
    <t>xr</t>
  </si>
  <si>
    <t xml:space="preserve">Regla Falsa </t>
  </si>
  <si>
    <t>No.Iteracion</t>
  </si>
  <si>
    <t>No. Iteracion</t>
  </si>
  <si>
    <t xml:space="preserve">R=  </t>
  </si>
  <si>
    <t xml:space="preserve">No se puede realizar este metodo con los intervalos ya que al momento de ingresar f(a)*f(b) no da menor o igual a 0 por lo tanto no existe raiz 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</si>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</sst>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G6" sqref="G6"/>
    </sheetView>
  </sheetViews>
  <sheetFormatPr baseColWidth="10" defaultRowHeight="14.5" x14ac:dyDescent="0.35"/>
  <cols>
    <col min="2" max="2" width="14" customWidth="1"/>
    <col min="3" max="3" width="14.453125" customWidth="1"/>
    <col min="4" max="4" width="14.36328125" customWidth="1"/>
    <col min="5" max="5" width="16.26953125" customWidth="1"/>
    <col min="6" max="6" width="13" customWidth="1"/>
    <col min="8" max="8" width="14.54296875" customWidth="1"/>
    <col min="9" max="9" width="61" customWidth="1"/>
  </cols>
  <sheetData>
    <row r="1" spans="1:9" x14ac:dyDescent="0.35">
      <c r="A1" t="s">
        <v>0</v>
      </c>
      <c r="B1">
        <v>-2</v>
      </c>
    </row>
    <row r="2" spans="1:9" x14ac:dyDescent="0.35">
      <c r="A2" t="s">
        <v>1</v>
      </c>
      <c r="B2" t="s">
        <v>2</v>
      </c>
    </row>
    <row r="3" spans="1:9" x14ac:dyDescent="0.35">
      <c r="A3" t="s">
        <v>3</v>
      </c>
      <c r="B3" t="s">
        <v>6</v>
      </c>
    </row>
    <row r="4" spans="1:9" x14ac:dyDescent="0.35">
      <c r="A4" s="4" t="s">
        <v>8</v>
      </c>
      <c r="B4" s="4"/>
      <c r="C4" s="4"/>
      <c r="D4" s="4"/>
      <c r="E4" s="4"/>
    </row>
    <row r="5" spans="1:9" x14ac:dyDescent="0.35">
      <c r="A5" s="1" t="s">
        <v>16</v>
      </c>
      <c r="B5" s="1" t="s">
        <v>4</v>
      </c>
      <c r="C5" s="1" t="s">
        <v>1</v>
      </c>
      <c r="D5" s="1" t="s">
        <v>3</v>
      </c>
      <c r="E5" s="1" t="s">
        <v>5</v>
      </c>
      <c r="F5" s="5" t="s">
        <v>19</v>
      </c>
      <c r="H5" t="s">
        <v>7</v>
      </c>
      <c r="I5">
        <f>B11</f>
        <v>-1.0216899540921853</v>
      </c>
    </row>
    <row r="6" spans="1:9" x14ac:dyDescent="0.35">
      <c r="A6" s="1">
        <v>1</v>
      </c>
      <c r="B6" s="1">
        <v>-2</v>
      </c>
      <c r="C6" s="1">
        <f>2*COS(B6)-(B6)^2</f>
        <v>-4.8322936730942851</v>
      </c>
      <c r="D6" s="1">
        <f>(-2*SIN(B6)-2*B6)</f>
        <v>5.8185948536513639</v>
      </c>
      <c r="E6" s="1">
        <f>B6-(C6/D6)</f>
        <v>-1.169508481921222</v>
      </c>
      <c r="F6">
        <f>((E6-B6/E6)*100)</f>
        <v>-287.96286143673581</v>
      </c>
    </row>
    <row r="7" spans="1:9" x14ac:dyDescent="0.35">
      <c r="A7" s="1">
        <v>2</v>
      </c>
      <c r="B7" s="1">
        <f>E6</f>
        <v>-1.169508481921222</v>
      </c>
      <c r="C7" s="1">
        <f t="shared" ref="C7:C17" si="0">2*COS(B7)-(B7)^2</f>
        <v>-0.58654168383275218</v>
      </c>
      <c r="D7" s="1">
        <f t="shared" ref="D7:D17" si="1">(-2*SIN(B7)-2*B7)</f>
        <v>4.1801344036733994</v>
      </c>
      <c r="E7" s="1">
        <f t="shared" ref="E7:E17" si="2">B7-(C7/D7)</f>
        <v>-1.0291920166618003</v>
      </c>
      <c r="F7">
        <f t="shared" ref="F7:F11" si="3">((E7-B7/E7)*100)</f>
        <v>-216.55285437508272</v>
      </c>
    </row>
    <row r="8" spans="1:9" x14ac:dyDescent="0.35">
      <c r="A8" s="1">
        <v>3</v>
      </c>
      <c r="B8" s="1">
        <f t="shared" ref="B8:B17" si="4">E7</f>
        <v>-1.0291920166618003</v>
      </c>
      <c r="C8" s="1">
        <f t="shared" si="0"/>
        <v>-2.8213486865779958E-2</v>
      </c>
      <c r="D8" s="1">
        <f t="shared" si="1"/>
        <v>3.7721495220169388</v>
      </c>
      <c r="E8" s="1">
        <f t="shared" si="2"/>
        <v>-1.0217125976459034</v>
      </c>
      <c r="F8">
        <f t="shared" si="3"/>
        <v>-202.90330701869391</v>
      </c>
    </row>
    <row r="9" spans="1:9" x14ac:dyDescent="0.35">
      <c r="A9" s="1">
        <v>4</v>
      </c>
      <c r="B9" s="1">
        <f t="shared" si="4"/>
        <v>-1.0217125976459034</v>
      </c>
      <c r="C9" s="1">
        <f t="shared" si="0"/>
        <v>-8.4899670301119556E-5</v>
      </c>
      <c r="D9" s="1">
        <f t="shared" si="1"/>
        <v>3.7494313696820667</v>
      </c>
      <c r="E9" s="1">
        <f t="shared" si="2"/>
        <v>-1.0216899543003051</v>
      </c>
      <c r="F9">
        <f t="shared" si="3"/>
        <v>-202.17121169392769</v>
      </c>
    </row>
    <row r="10" spans="1:9" x14ac:dyDescent="0.35">
      <c r="A10" s="1">
        <v>5</v>
      </c>
      <c r="B10" s="1">
        <f t="shared" si="4"/>
        <v>-1.0216899543003051</v>
      </c>
      <c r="C10" s="1">
        <f t="shared" si="0"/>
        <v>-7.8031670014411247E-10</v>
      </c>
      <c r="D10" s="1">
        <f t="shared" si="1"/>
        <v>3.7493624471637208</v>
      </c>
      <c r="E10" s="1">
        <f t="shared" si="2"/>
        <v>-1.0216899540921853</v>
      </c>
      <c r="F10">
        <f t="shared" si="3"/>
        <v>-202.1689954295887</v>
      </c>
    </row>
    <row r="11" spans="1:9" x14ac:dyDescent="0.35">
      <c r="A11" s="1">
        <v>6</v>
      </c>
      <c r="B11" s="1">
        <f t="shared" si="4"/>
        <v>-1.0216899540921853</v>
      </c>
      <c r="C11" s="1">
        <f t="shared" si="0"/>
        <v>0</v>
      </c>
      <c r="D11" s="1">
        <f t="shared" si="1"/>
        <v>3.7493624465302355</v>
      </c>
      <c r="E11" s="1">
        <f t="shared" si="2"/>
        <v>-1.0216899540921853</v>
      </c>
      <c r="F11">
        <f t="shared" si="3"/>
        <v>-202.1689954092185</v>
      </c>
    </row>
    <row r="13" spans="1:9" x14ac:dyDescent="0.35">
      <c r="A13" s="3" t="s">
        <v>14</v>
      </c>
      <c r="B13" s="3"/>
      <c r="C13" s="3"/>
      <c r="D13" s="3"/>
      <c r="E13" s="3"/>
      <c r="F13" s="3"/>
    </row>
    <row r="14" spans="1:9" ht="52" customHeight="1" x14ac:dyDescent="0.35">
      <c r="A14" s="2" t="s">
        <v>15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H14" s="2" t="s">
        <v>17</v>
      </c>
      <c r="I14" s="2" t="s">
        <v>18</v>
      </c>
    </row>
    <row r="15" spans="1:9" x14ac:dyDescent="0.35">
      <c r="B15">
        <v>-2</v>
      </c>
      <c r="C15">
        <v>2</v>
      </c>
      <c r="D15" s="1">
        <f>2*COS(B15)-(B15)^2</f>
        <v>-4.8322936730942851</v>
      </c>
      <c r="E15">
        <f>2*COS(C15)-(C15)^2</f>
        <v>-4.8322936730942851</v>
      </c>
    </row>
  </sheetData>
  <mergeCells count="2">
    <mergeCell ref="A4:E4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jeshu</dc:creator>
  <cp:lastModifiedBy>jeshu</cp:lastModifiedBy>
  <dcterms:created xsi:type="dcterms:W3CDTF">2026-02-24T16:42:38Z</dcterms:created>
  <dcterms:modified xsi:type="dcterms:W3CDTF">2026-02-24T17:40:02Z</dcterms:modified>
</cp:coreProperties>
</file>